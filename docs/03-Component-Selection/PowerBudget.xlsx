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om\Downloads\"/>
    </mc:Choice>
  </mc:AlternateContent>
  <xr:revisionPtr revIDLastSave="0" documentId="13_ncr:1_{A627CB7F-9AF8-4222-A0C4-4445E270CA3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43" i="1"/>
  <c r="G27" i="1"/>
  <c r="G28" i="1"/>
  <c r="G29" i="1"/>
  <c r="G13" i="1"/>
  <c r="G8" i="1"/>
  <c r="G48" i="1"/>
  <c r="G42" i="1"/>
  <c r="G41" i="1"/>
  <c r="G35" i="1"/>
  <c r="G30" i="1"/>
  <c r="G24" i="1"/>
  <c r="G19" i="1"/>
  <c r="G18" i="1"/>
  <c r="G17" i="1"/>
  <c r="G16" i="1"/>
  <c r="G12" i="1"/>
  <c r="G11" i="1"/>
  <c r="G10" i="1"/>
  <c r="G9" i="1"/>
  <c r="G31" i="1" l="1"/>
  <c r="G20" i="1"/>
  <c r="G22" i="1" s="1"/>
  <c r="G25" i="1" s="1"/>
  <c r="G33" i="1" l="1"/>
  <c r="G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<sst xmlns="http://schemas.openxmlformats.org/spreadsheetml/2006/main" count="138" uniqueCount="56">
  <si>
    <t>Power Budget Example</t>
  </si>
  <si>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</si>
  <si>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</si>
  <si>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</si>
  <si>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</si>
  <si>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</si>
  <si>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</si>
  <si>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</si>
  <si>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</si>
  <si>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</si>
  <si>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</si>
  <si>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</si>
  <si>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</si>
  <si>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(full part number)</t>
  </si>
  <si>
    <t>mA</t>
  </si>
  <si>
    <t>(range)</t>
  </si>
  <si>
    <t xml:space="preserve">Subtotal </t>
  </si>
  <si>
    <t>Safety Margin</t>
  </si>
  <si>
    <t xml:space="preserve"> +5V Power Rail</t>
  </si>
  <si>
    <t>Total Current Required on +5V Rail</t>
  </si>
  <si>
    <t>c2. Regulator or Source Choice</t>
  </si>
  <si>
    <t>Total Remaining Current Available on +5V Rail</t>
  </si>
  <si>
    <t xml:space="preserve"> +3.3V Power Rail</t>
  </si>
  <si>
    <t>Total Current Required on +3.3V Rail</t>
  </si>
  <si>
    <t>c4. Regulator or Source Choice</t>
  </si>
  <si>
    <t>Total Remaining Current Available on 3.3V Rail</t>
  </si>
  <si>
    <t>External Power Source 1</t>
  </si>
  <si>
    <t>Output Voltage</t>
  </si>
  <si>
    <t>Power Source 1 Selection</t>
  </si>
  <si>
    <t>Plug-in Wall Supply</t>
  </si>
  <si>
    <t xml:space="preserve"> +24V</t>
  </si>
  <si>
    <t>Total Remaining Current Available on External Power Source 1</t>
  </si>
  <si>
    <t>External Power Source 2</t>
  </si>
  <si>
    <t>Power Source 2 Selection</t>
  </si>
  <si>
    <t>Power Rails Connected to External Power Source 2</t>
  </si>
  <si>
    <t>Total Remaining Current Available on External Power Source 2</t>
  </si>
  <si>
    <t>Arducam 2MP</t>
  </si>
  <si>
    <t>B0067</t>
  </si>
  <si>
    <t>5V</t>
  </si>
  <si>
    <t>MicroSD</t>
  </si>
  <si>
    <t>3.3V</t>
  </si>
  <si>
    <t>LED</t>
  </si>
  <si>
    <t>ESP32</t>
  </si>
  <si>
    <t>SML-D12U1WT86</t>
  </si>
  <si>
    <t>ESP32-S3-WROOM-1-N4</t>
  </si>
  <si>
    <t>2.7-3.6V</t>
  </si>
  <si>
    <t>1.5V-2.7V</t>
  </si>
  <si>
    <t>3V-3.6V</t>
  </si>
  <si>
    <t>AP63203WU-7</t>
  </si>
  <si>
    <t>IC REG BUCK 3.3V 2A TSOT23-6</t>
  </si>
  <si>
    <t>IC REG LINEAR 5V 300MA SOT23-3</t>
  </si>
  <si>
    <t>AP7375-50SA-7</t>
  </si>
  <si>
    <t>120VAC</t>
  </si>
  <si>
    <t>USB-B-Micro</t>
  </si>
  <si>
    <t>Boat Drone</t>
  </si>
  <si>
    <t>Levi, Austin, Hafsa, Isaac, Jacob, K, Kelton, Micheal, Neel, Seth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</si>
</sst>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24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name val="Arial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2" fillId="0" borderId="0" xfId="0" applyFont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6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6" fillId="0" borderId="7" xfId="0" applyFont="1" applyBorder="1"/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2" fillId="0" borderId="6" xfId="0" applyFont="1" applyBorder="1"/>
    <xf numFmtId="0" fontId="4" fillId="0" borderId="0" xfId="0" applyFont="1" applyAlignment="1">
      <alignment horizontal="center"/>
    </xf>
    <xf numFmtId="0" fontId="2" fillId="0" borderId="7" xfId="0" applyFont="1" applyBorder="1"/>
    <xf numFmtId="0" fontId="5" fillId="2" borderId="8" xfId="0" applyFont="1" applyFill="1" applyBorder="1"/>
    <xf numFmtId="9" fontId="0" fillId="0" borderId="7" xfId="0" applyNumberFormat="1" applyBorder="1"/>
    <xf numFmtId="0" fontId="7" fillId="0" borderId="6" xfId="0" applyFont="1" applyBorder="1"/>
    <xf numFmtId="0" fontId="5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7" xfId="0" applyBorder="1" applyAlignment="1">
      <alignment horizontal="right"/>
    </xf>
    <xf numFmtId="0" fontId="5" fillId="0" borderId="9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6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6" xfId="0" applyFont="1" applyBorder="1"/>
    <xf numFmtId="0" fontId="5" fillId="0" borderId="7" xfId="0" applyFont="1" applyBorder="1"/>
    <xf numFmtId="0" fontId="4" fillId="2" borderId="3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left"/>
    </xf>
    <xf numFmtId="0" fontId="6" fillId="0" borderId="7" xfId="0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6" fillId="0" borderId="11" xfId="0" applyFont="1" applyBorder="1"/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0" xfId="0" applyFont="1"/>
    <xf numFmtId="0" fontId="0" fillId="0" borderId="7" xfId="0" applyBorder="1" applyAlignment="1">
      <alignment horizontal="center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9" fontId="5" fillId="0" borderId="10" xfId="0" applyNumberFormat="1" applyFont="1" applyBorder="1" applyAlignment="1">
      <alignment horizontal="right"/>
    </xf>
    <xf numFmtId="0" fontId="3" fillId="0" borderId="10" xfId="0" applyFont="1" applyBorder="1"/>
    <xf numFmtId="49" fontId="5" fillId="0" borderId="0" xfId="0" applyNumberFormat="1" applyFont="1" applyAlignment="1">
      <alignment horizontal="right"/>
    </xf>
    <xf numFmtId="0" fontId="4" fillId="0" borderId="6" xfId="0" applyFont="1" applyBorder="1" applyAlignment="1">
      <alignment horizontal="left" vertical="center" wrapText="1"/>
    </xf>
    <xf numFmtId="0" fontId="3" fillId="0" borderId="6" xfId="0" applyFont="1" applyBorder="1"/>
    <xf numFmtId="0" fontId="9" fillId="0" borderId="6" xfId="0" applyFont="1" applyBorder="1"/>
    <xf numFmtId="0" fontId="10" fillId="0" borderId="0" xfId="0" applyFont="1" applyAlignment="1">
      <alignment horizontal="center"/>
    </xf>
    <xf numFmtId="0" fontId="11" fillId="0" borderId="1" xfId="0" applyFont="1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2"/>
  <sheetViews>
    <sheetView tabSelected="1" zoomScale="70" zoomScaleNormal="70" workbookViewId="0">
      <selection activeCell="C13" sqref="C13"/>
    </sheetView>
  </sheetViews>
  <sheetFormatPr defaultColWidth="13.3984375" defaultRowHeight="15.75" customHeight="1" x14ac:dyDescent="0.3"/>
  <cols>
    <col min="1" max="1" width="50.19921875" customWidth="1"/>
    <col min="2" max="2" width="34.296875" customWidth="1"/>
    <col min="3" max="3" width="21.09765625" customWidth="1"/>
    <col min="4" max="4" width="11.3984375" customWidth="1"/>
    <col min="5" max="5" width="6.8984375" customWidth="1"/>
    <col min="6" max="6" width="35.59765625" customWidth="1"/>
    <col min="7" max="7" width="23.296875" customWidth="1"/>
    <col min="8" max="8" width="9" customWidth="1"/>
  </cols>
  <sheetData>
    <row r="1" spans="1:8" ht="30" customHeight="1" x14ac:dyDescent="0.6">
      <c r="A1" s="46" t="s">
        <v>0</v>
      </c>
      <c r="B1" s="47"/>
      <c r="C1" s="47"/>
      <c r="D1" s="47"/>
      <c r="E1" s="47"/>
      <c r="F1" s="47"/>
      <c r="G1" s="47"/>
      <c r="H1" s="47"/>
    </row>
    <row r="2" spans="1:8" ht="15" customHeight="1" x14ac:dyDescent="0.3">
      <c r="A2" s="1" t="s">
        <v>1</v>
      </c>
      <c r="B2" s="2">
        <v>201</v>
      </c>
      <c r="D2" s="3"/>
      <c r="E2" s="3"/>
    </row>
    <row r="3" spans="1:8" ht="15" customHeight="1" x14ac:dyDescent="0.3">
      <c r="A3" s="4" t="s">
        <v>2</v>
      </c>
      <c r="B3" s="57" t="s">
        <v>54</v>
      </c>
      <c r="C3" s="5"/>
      <c r="D3" s="3"/>
      <c r="E3" s="3"/>
      <c r="F3" s="5"/>
      <c r="G3" s="5"/>
      <c r="H3" s="5"/>
    </row>
    <row r="4" spans="1:8" ht="15" customHeight="1" x14ac:dyDescent="0.3">
      <c r="A4" s="4" t="s">
        <v>3</v>
      </c>
      <c r="B4" s="57" t="s">
        <v>55</v>
      </c>
      <c r="C4" s="5"/>
      <c r="D4" s="3"/>
      <c r="E4" s="3"/>
      <c r="F4" s="5"/>
      <c r="G4" s="5"/>
      <c r="H4" s="5"/>
    </row>
    <row r="5" spans="1:8" ht="15" customHeight="1" x14ac:dyDescent="0.3">
      <c r="A5" s="4" t="s">
        <v>4</v>
      </c>
      <c r="B5" s="1">
        <v>1</v>
      </c>
      <c r="C5" s="5"/>
      <c r="D5" s="3"/>
      <c r="E5" s="3"/>
      <c r="F5" s="5"/>
      <c r="G5" s="5"/>
      <c r="H5" s="5"/>
    </row>
    <row r="6" spans="1:8" ht="15" customHeight="1" x14ac:dyDescent="0.3">
      <c r="A6" s="6"/>
      <c r="B6" s="5"/>
      <c r="C6" s="5"/>
      <c r="D6" s="3"/>
      <c r="E6" s="3"/>
      <c r="F6" s="5"/>
      <c r="G6" s="5"/>
      <c r="H6" s="5"/>
    </row>
    <row r="7" spans="1:8" ht="15" customHeight="1" x14ac:dyDescent="0.3">
      <c r="A7" s="7" t="s">
        <v>5</v>
      </c>
      <c r="B7" s="8" t="s">
        <v>6</v>
      </c>
      <c r="C7" s="8" t="s">
        <v>7</v>
      </c>
      <c r="D7" s="9" t="s">
        <v>8</v>
      </c>
      <c r="E7" s="9" t="s">
        <v>9</v>
      </c>
      <c r="F7" s="10" t="s">
        <v>10</v>
      </c>
      <c r="G7" s="11" t="s">
        <v>11</v>
      </c>
      <c r="H7" s="11" t="s">
        <v>12</v>
      </c>
    </row>
    <row r="8" spans="1:8" ht="15" customHeight="1" x14ac:dyDescent="0.3">
      <c r="A8" s="12"/>
      <c r="B8" t="s">
        <v>36</v>
      </c>
      <c r="C8" t="s">
        <v>37</v>
      </c>
      <c r="D8" s="13" t="s">
        <v>38</v>
      </c>
      <c r="E8" s="14">
        <v>1</v>
      </c>
      <c r="F8">
        <v>70</v>
      </c>
      <c r="G8" s="15">
        <f>E8*F8</f>
        <v>70</v>
      </c>
      <c r="H8" s="16" t="s">
        <v>14</v>
      </c>
    </row>
    <row r="9" spans="1:8" ht="15" customHeight="1" x14ac:dyDescent="0.3">
      <c r="A9" s="12"/>
      <c r="B9" t="s">
        <v>39</v>
      </c>
      <c r="D9" s="13" t="s">
        <v>45</v>
      </c>
      <c r="E9" s="14">
        <v>1</v>
      </c>
      <c r="F9">
        <v>80</v>
      </c>
      <c r="G9" s="15">
        <f t="shared" ref="G9:G13" si="0">E9*F9</f>
        <v>80</v>
      </c>
      <c r="H9" s="16" t="s">
        <v>14</v>
      </c>
    </row>
    <row r="10" spans="1:8" ht="15" customHeight="1" x14ac:dyDescent="0.3">
      <c r="A10" s="12"/>
      <c r="B10" t="s">
        <v>41</v>
      </c>
      <c r="D10" s="14" t="s">
        <v>46</v>
      </c>
      <c r="E10" s="14">
        <v>5</v>
      </c>
      <c r="F10">
        <v>20</v>
      </c>
      <c r="G10" s="15">
        <f t="shared" si="0"/>
        <v>100</v>
      </c>
      <c r="H10" s="16" t="s">
        <v>14</v>
      </c>
    </row>
    <row r="11" spans="1:8" ht="15" customHeight="1" x14ac:dyDescent="0.3">
      <c r="A11" s="12"/>
      <c r="B11" s="17" t="s">
        <v>42</v>
      </c>
      <c r="C11" s="17"/>
      <c r="D11" s="18" t="s">
        <v>47</v>
      </c>
      <c r="E11" s="13">
        <v>1</v>
      </c>
      <c r="F11" s="17">
        <v>355</v>
      </c>
      <c r="G11" s="15">
        <f t="shared" si="0"/>
        <v>355</v>
      </c>
      <c r="H11" s="16" t="s">
        <v>14</v>
      </c>
    </row>
    <row r="12" spans="1:8" ht="15" customHeight="1" x14ac:dyDescent="0.3">
      <c r="A12" s="12"/>
      <c r="C12" s="17"/>
      <c r="D12" s="13"/>
      <c r="E12" s="14">
        <v>1</v>
      </c>
      <c r="G12" s="15">
        <f t="shared" si="0"/>
        <v>0</v>
      </c>
      <c r="H12" s="16" t="s">
        <v>14</v>
      </c>
    </row>
    <row r="13" spans="1:8" ht="15" customHeight="1" x14ac:dyDescent="0.3">
      <c r="A13" s="12"/>
      <c r="B13" s="17"/>
      <c r="D13" s="13"/>
      <c r="E13" s="14">
        <v>1</v>
      </c>
      <c r="G13" s="15">
        <f t="shared" si="0"/>
        <v>0</v>
      </c>
      <c r="H13" s="16" t="s">
        <v>14</v>
      </c>
    </row>
    <row r="14" spans="1:8" ht="15" customHeight="1" x14ac:dyDescent="0.3">
      <c r="A14" s="19"/>
      <c r="B14" s="6"/>
      <c r="C14" s="5"/>
      <c r="D14" s="20"/>
      <c r="E14" s="3"/>
      <c r="F14" s="5"/>
      <c r="G14" s="21"/>
      <c r="H14" s="21"/>
    </row>
    <row r="15" spans="1:8" ht="15" customHeight="1" x14ac:dyDescent="0.3">
      <c r="A15" s="22" t="s">
        <v>18</v>
      </c>
      <c r="B15" s="8" t="s">
        <v>6</v>
      </c>
      <c r="C15" s="8" t="s">
        <v>7</v>
      </c>
      <c r="D15" s="9" t="s">
        <v>8</v>
      </c>
      <c r="E15" s="9" t="s">
        <v>9</v>
      </c>
      <c r="F15" s="10" t="s">
        <v>10</v>
      </c>
      <c r="G15" s="30" t="s">
        <v>11</v>
      </c>
      <c r="H15" s="30" t="s">
        <v>12</v>
      </c>
    </row>
    <row r="16" spans="1:8" ht="15" customHeight="1" x14ac:dyDescent="0.3">
      <c r="A16" s="12"/>
      <c r="B16" t="s">
        <v>36</v>
      </c>
      <c r="C16" t="s">
        <v>37</v>
      </c>
      <c r="D16" s="13" t="s">
        <v>38</v>
      </c>
      <c r="E16" s="14">
        <v>1</v>
      </c>
      <c r="F16">
        <v>70</v>
      </c>
      <c r="G16" s="15">
        <f t="shared" ref="G16:G19" si="1">E16*F16</f>
        <v>70</v>
      </c>
      <c r="H16" s="16" t="s">
        <v>14</v>
      </c>
    </row>
    <row r="17" spans="1:8" ht="15" customHeight="1" x14ac:dyDescent="0.3">
      <c r="A17" s="12"/>
      <c r="D17" s="14"/>
      <c r="E17" s="14"/>
      <c r="G17" s="15">
        <f t="shared" si="1"/>
        <v>0</v>
      </c>
      <c r="H17" s="16" t="s">
        <v>14</v>
      </c>
    </row>
    <row r="18" spans="1:8" ht="15" customHeight="1" x14ac:dyDescent="0.3">
      <c r="A18" s="12"/>
      <c r="D18" s="14"/>
      <c r="E18" s="14"/>
      <c r="G18" s="15">
        <f t="shared" si="1"/>
        <v>0</v>
      </c>
      <c r="H18" s="16" t="s">
        <v>14</v>
      </c>
    </row>
    <row r="19" spans="1:8" ht="15" customHeight="1" x14ac:dyDescent="0.3">
      <c r="A19" s="12"/>
      <c r="D19" s="14"/>
      <c r="E19" s="14"/>
      <c r="G19" s="15">
        <f t="shared" si="1"/>
        <v>0</v>
      </c>
      <c r="H19" s="16" t="s">
        <v>14</v>
      </c>
    </row>
    <row r="20" spans="1:8" ht="15" customHeight="1" x14ac:dyDescent="0.3">
      <c r="A20" s="12"/>
      <c r="B20" s="48" t="s">
        <v>16</v>
      </c>
      <c r="C20" s="47"/>
      <c r="D20" s="47"/>
      <c r="E20" s="47"/>
      <c r="F20" s="47"/>
      <c r="G20" s="15">
        <f>SUM(G16:G19)</f>
        <v>70</v>
      </c>
      <c r="H20" s="16" t="s">
        <v>14</v>
      </c>
    </row>
    <row r="21" spans="1:8" ht="15" customHeight="1" x14ac:dyDescent="0.3">
      <c r="A21" s="12"/>
      <c r="B21" s="48" t="s">
        <v>17</v>
      </c>
      <c r="C21" s="47"/>
      <c r="D21" s="47"/>
      <c r="E21" s="47"/>
      <c r="F21" s="47"/>
      <c r="G21" s="23">
        <v>0.25</v>
      </c>
      <c r="H21" s="23"/>
    </row>
    <row r="22" spans="1:8" ht="15" customHeight="1" x14ac:dyDescent="0.3">
      <c r="A22" s="24"/>
      <c r="B22" s="49" t="s">
        <v>19</v>
      </c>
      <c r="C22" s="47"/>
      <c r="D22" s="47"/>
      <c r="E22" s="47"/>
      <c r="F22" s="47"/>
      <c r="G22" s="15">
        <f>G20*(1+G21)</f>
        <v>87.5</v>
      </c>
      <c r="H22" s="16" t="s">
        <v>14</v>
      </c>
    </row>
    <row r="23" spans="1:8" ht="15" customHeight="1" x14ac:dyDescent="0.3">
      <c r="A23" s="25"/>
      <c r="B23" s="26"/>
      <c r="C23" s="26"/>
      <c r="D23" s="13"/>
      <c r="E23" s="13"/>
      <c r="F23" s="27"/>
      <c r="G23" s="28"/>
      <c r="H23" s="15"/>
    </row>
    <row r="24" spans="1:8" ht="15" customHeight="1" x14ac:dyDescent="0.3">
      <c r="A24" s="25" t="s">
        <v>20</v>
      </c>
      <c r="B24" t="s">
        <v>50</v>
      </c>
      <c r="C24" t="s">
        <v>51</v>
      </c>
      <c r="D24" s="13" t="s">
        <v>15</v>
      </c>
      <c r="E24" s="13">
        <v>1</v>
      </c>
      <c r="F24" s="27">
        <v>300</v>
      </c>
      <c r="G24" s="28">
        <f>E24*F24</f>
        <v>300</v>
      </c>
      <c r="H24" s="16" t="s">
        <v>14</v>
      </c>
    </row>
    <row r="25" spans="1:8" ht="15" customHeight="1" x14ac:dyDescent="0.3">
      <c r="A25" s="29"/>
      <c r="B25" s="50" t="s">
        <v>21</v>
      </c>
      <c r="C25" s="51"/>
      <c r="D25" s="51"/>
      <c r="E25" s="51"/>
      <c r="F25" s="51"/>
      <c r="G25" s="28">
        <f>G24-G22</f>
        <v>212.5</v>
      </c>
      <c r="H25" s="16" t="s">
        <v>14</v>
      </c>
    </row>
    <row r="26" spans="1:8" ht="15" customHeight="1" x14ac:dyDescent="0.3">
      <c r="A26" s="22" t="s">
        <v>22</v>
      </c>
      <c r="B26" s="8" t="s">
        <v>6</v>
      </c>
      <c r="C26" s="8" t="s">
        <v>7</v>
      </c>
      <c r="D26" s="9" t="s">
        <v>8</v>
      </c>
      <c r="E26" s="9" t="s">
        <v>9</v>
      </c>
      <c r="F26" s="10" t="s">
        <v>10</v>
      </c>
      <c r="G26" s="30" t="s">
        <v>11</v>
      </c>
      <c r="H26" s="30" t="s">
        <v>12</v>
      </c>
    </row>
    <row r="27" spans="1:8" ht="15" customHeight="1" x14ac:dyDescent="0.3">
      <c r="A27" s="12"/>
      <c r="B27" t="s">
        <v>39</v>
      </c>
      <c r="D27" s="13" t="s">
        <v>45</v>
      </c>
      <c r="E27" s="14">
        <v>1</v>
      </c>
      <c r="F27">
        <v>80</v>
      </c>
      <c r="G27" s="15">
        <f t="shared" ref="G27:G30" si="2">E27*F27</f>
        <v>80</v>
      </c>
      <c r="H27" s="16" t="s">
        <v>14</v>
      </c>
    </row>
    <row r="28" spans="1:8" ht="15" customHeight="1" x14ac:dyDescent="0.3">
      <c r="A28" s="12"/>
      <c r="B28" t="s">
        <v>41</v>
      </c>
      <c r="C28" t="s">
        <v>43</v>
      </c>
      <c r="D28" s="14" t="s">
        <v>46</v>
      </c>
      <c r="E28" s="14">
        <v>5</v>
      </c>
      <c r="F28">
        <v>20</v>
      </c>
      <c r="G28" s="15">
        <f t="shared" si="2"/>
        <v>100</v>
      </c>
      <c r="H28" s="16" t="s">
        <v>14</v>
      </c>
    </row>
    <row r="29" spans="1:8" ht="15" customHeight="1" x14ac:dyDescent="0.3">
      <c r="A29" s="12"/>
      <c r="B29" s="17" t="s">
        <v>42</v>
      </c>
      <c r="C29" t="s">
        <v>44</v>
      </c>
      <c r="D29" s="14" t="s">
        <v>47</v>
      </c>
      <c r="E29" s="14">
        <v>1</v>
      </c>
      <c r="F29" s="17">
        <v>355</v>
      </c>
      <c r="G29" s="15">
        <f t="shared" si="2"/>
        <v>355</v>
      </c>
      <c r="H29" s="16" t="s">
        <v>14</v>
      </c>
    </row>
    <row r="30" spans="1:8" ht="15" customHeight="1" x14ac:dyDescent="0.3">
      <c r="A30" s="12"/>
      <c r="D30" s="14"/>
      <c r="E30" s="14"/>
      <c r="G30" s="15">
        <f t="shared" si="2"/>
        <v>0</v>
      </c>
      <c r="H30" s="16" t="s">
        <v>14</v>
      </c>
    </row>
    <row r="31" spans="1:8" ht="15" customHeight="1" x14ac:dyDescent="0.3">
      <c r="A31" s="12"/>
      <c r="B31" s="48" t="s">
        <v>16</v>
      </c>
      <c r="C31" s="47"/>
      <c r="D31" s="47"/>
      <c r="E31" s="47"/>
      <c r="F31" s="47"/>
      <c r="G31" s="15">
        <f>SUM(G26:G30)</f>
        <v>535</v>
      </c>
      <c r="H31" s="16" t="s">
        <v>14</v>
      </c>
    </row>
    <row r="32" spans="1:8" ht="15" customHeight="1" x14ac:dyDescent="0.3">
      <c r="A32" s="12"/>
      <c r="B32" s="48" t="s">
        <v>17</v>
      </c>
      <c r="C32" s="47"/>
      <c r="D32" s="47"/>
      <c r="E32" s="47"/>
      <c r="F32" s="47"/>
      <c r="G32" s="23">
        <v>0.25</v>
      </c>
      <c r="H32" s="23"/>
    </row>
    <row r="33" spans="1:8" ht="15" customHeight="1" x14ac:dyDescent="0.3">
      <c r="A33" s="12"/>
      <c r="B33" s="49" t="s">
        <v>23</v>
      </c>
      <c r="C33" s="47"/>
      <c r="D33" s="47"/>
      <c r="E33" s="47"/>
      <c r="F33" s="47"/>
      <c r="G33" s="15">
        <f>G31*(1+G32)</f>
        <v>668.75</v>
      </c>
      <c r="H33" s="16" t="s">
        <v>14</v>
      </c>
    </row>
    <row r="34" spans="1:8" ht="15" customHeight="1" x14ac:dyDescent="0.3">
      <c r="A34" s="25"/>
      <c r="B34" s="17"/>
      <c r="D34" s="13"/>
      <c r="E34" s="14"/>
      <c r="G34" s="15"/>
      <c r="H34" s="21"/>
    </row>
    <row r="35" spans="1:8" ht="15" customHeight="1" x14ac:dyDescent="0.3">
      <c r="A35" s="25" t="s">
        <v>24</v>
      </c>
      <c r="B35" s="45" t="s">
        <v>49</v>
      </c>
      <c r="C35" t="s">
        <v>48</v>
      </c>
      <c r="D35" s="13" t="s">
        <v>40</v>
      </c>
      <c r="E35" s="14">
        <v>1</v>
      </c>
      <c r="F35">
        <v>2000</v>
      </c>
      <c r="G35" s="15">
        <f>E35*F35</f>
        <v>2000</v>
      </c>
      <c r="H35" s="16" t="s">
        <v>14</v>
      </c>
    </row>
    <row r="36" spans="1:8" ht="15" customHeight="1" x14ac:dyDescent="0.3">
      <c r="A36" s="12"/>
      <c r="B36" s="52" t="s">
        <v>25</v>
      </c>
      <c r="C36" s="47"/>
      <c r="D36" s="47"/>
      <c r="E36" s="47"/>
      <c r="F36" s="47"/>
      <c r="G36" s="28">
        <f>G35-G33</f>
        <v>1331.25</v>
      </c>
      <c r="H36" s="16" t="s">
        <v>14</v>
      </c>
    </row>
    <row r="37" spans="1:8" ht="15" customHeight="1" x14ac:dyDescent="0.3">
      <c r="A37" s="31"/>
      <c r="B37" s="32"/>
      <c r="C37" s="32"/>
      <c r="D37" s="32"/>
      <c r="E37" s="32"/>
      <c r="F37" s="32"/>
      <c r="G37" s="33"/>
      <c r="H37" s="34"/>
    </row>
    <row r="38" spans="1:8" ht="15" customHeight="1" x14ac:dyDescent="0.3">
      <c r="A38" s="22" t="s">
        <v>26</v>
      </c>
      <c r="B38" s="8" t="s">
        <v>6</v>
      </c>
      <c r="C38" s="8" t="s">
        <v>7</v>
      </c>
      <c r="D38" s="9" t="s">
        <v>8</v>
      </c>
      <c r="E38" s="35" t="s">
        <v>27</v>
      </c>
      <c r="F38" s="10" t="s">
        <v>10</v>
      </c>
      <c r="G38" s="30" t="s">
        <v>11</v>
      </c>
      <c r="H38" s="30" t="s">
        <v>12</v>
      </c>
    </row>
    <row r="39" spans="1:8" ht="15" customHeight="1" x14ac:dyDescent="0.3">
      <c r="A39" s="36" t="s">
        <v>28</v>
      </c>
      <c r="B39" s="26" t="s">
        <v>29</v>
      </c>
      <c r="C39" s="13" t="s">
        <v>13</v>
      </c>
      <c r="D39" s="13" t="s">
        <v>52</v>
      </c>
      <c r="E39" s="13" t="s">
        <v>30</v>
      </c>
      <c r="F39" s="27">
        <v>5000</v>
      </c>
      <c r="G39" s="37">
        <v>5000</v>
      </c>
      <c r="H39" s="38" t="s">
        <v>14</v>
      </c>
    </row>
    <row r="40" spans="1:8" ht="15" customHeight="1" x14ac:dyDescent="0.3">
      <c r="A40" s="39"/>
      <c r="B40" s="26"/>
      <c r="C40" s="26"/>
      <c r="D40" s="13"/>
      <c r="E40" s="13"/>
      <c r="F40" s="27"/>
      <c r="G40" s="28"/>
      <c r="H40" s="40"/>
    </row>
    <row r="41" spans="1:8" ht="15" customHeight="1" x14ac:dyDescent="0.3">
      <c r="A41" s="55" t="s">
        <v>34</v>
      </c>
      <c r="B41" s="26" t="s">
        <v>50</v>
      </c>
      <c r="C41" s="26" t="s">
        <v>51</v>
      </c>
      <c r="D41" s="13" t="s">
        <v>38</v>
      </c>
      <c r="E41" s="13">
        <v>1</v>
      </c>
      <c r="F41" s="27">
        <v>87.5</v>
      </c>
      <c r="G41" s="28">
        <f t="shared" ref="G41:G42" si="3">E41*F41</f>
        <v>87.5</v>
      </c>
      <c r="H41" s="16" t="s">
        <v>14</v>
      </c>
    </row>
    <row r="42" spans="1:8" ht="15" customHeight="1" x14ac:dyDescent="0.3">
      <c r="A42" s="55"/>
      <c r="B42" s="17" t="s">
        <v>49</v>
      </c>
      <c r="C42" t="s">
        <v>48</v>
      </c>
      <c r="D42" s="13" t="s">
        <v>40</v>
      </c>
      <c r="E42" s="14">
        <v>1</v>
      </c>
      <c r="F42">
        <v>668.75</v>
      </c>
      <c r="G42" s="15">
        <f t="shared" si="3"/>
        <v>668.75</v>
      </c>
      <c r="H42" s="16" t="s">
        <v>14</v>
      </c>
    </row>
    <row r="43" spans="1:8" ht="15" customHeight="1" x14ac:dyDescent="0.3">
      <c r="A43" s="39"/>
      <c r="B43" s="52" t="s">
        <v>31</v>
      </c>
      <c r="C43" s="47"/>
      <c r="D43" s="47"/>
      <c r="E43" s="47"/>
      <c r="F43" s="47"/>
      <c r="G43" s="37">
        <f>G39-SUM(G41:G42)</f>
        <v>4243.75</v>
      </c>
      <c r="H43" s="38" t="s">
        <v>14</v>
      </c>
    </row>
    <row r="44" spans="1:8" ht="15" customHeight="1" x14ac:dyDescent="0.3">
      <c r="A44" s="39"/>
      <c r="B44" s="3"/>
      <c r="C44" s="3"/>
      <c r="D44" s="20"/>
      <c r="E44" s="20"/>
      <c r="F44" s="20"/>
      <c r="G44" s="41"/>
      <c r="H44" s="42"/>
    </row>
    <row r="45" spans="1:8" ht="15" customHeight="1" x14ac:dyDescent="0.3">
      <c r="A45" s="22" t="s">
        <v>32</v>
      </c>
      <c r="B45" s="8" t="s">
        <v>6</v>
      </c>
      <c r="C45" s="8" t="s">
        <v>7</v>
      </c>
      <c r="D45" s="9" t="s">
        <v>8</v>
      </c>
      <c r="E45" s="35" t="s">
        <v>27</v>
      </c>
      <c r="F45" s="10" t="s">
        <v>10</v>
      </c>
      <c r="G45" s="30" t="s">
        <v>11</v>
      </c>
      <c r="H45" s="30" t="s">
        <v>12</v>
      </c>
    </row>
    <row r="46" spans="1:8" ht="15" customHeight="1" x14ac:dyDescent="0.3">
      <c r="A46" s="36" t="s">
        <v>33</v>
      </c>
      <c r="B46" s="26" t="s">
        <v>53</v>
      </c>
      <c r="C46" s="13" t="s">
        <v>13</v>
      </c>
      <c r="D46" s="13"/>
      <c r="E46" s="56" t="s">
        <v>38</v>
      </c>
      <c r="F46" s="27">
        <v>1500</v>
      </c>
      <c r="G46" s="37">
        <v>1500</v>
      </c>
      <c r="H46" s="38" t="s">
        <v>14</v>
      </c>
    </row>
    <row r="47" spans="1:8" ht="15" customHeight="1" x14ac:dyDescent="0.3">
      <c r="A47" s="39"/>
      <c r="B47" s="26"/>
      <c r="C47" s="26"/>
      <c r="D47" s="13"/>
      <c r="E47" s="13"/>
      <c r="F47" s="27"/>
      <c r="G47" s="28"/>
      <c r="H47" s="40"/>
    </row>
    <row r="48" spans="1:8" ht="15" customHeight="1" x14ac:dyDescent="0.3">
      <c r="A48" s="53" t="s">
        <v>34</v>
      </c>
      <c r="B48" s="26" t="s">
        <v>50</v>
      </c>
      <c r="C48" s="26" t="s">
        <v>51</v>
      </c>
      <c r="D48" s="13" t="s">
        <v>38</v>
      </c>
      <c r="E48" s="13">
        <v>1</v>
      </c>
      <c r="F48" s="27">
        <v>87.5</v>
      </c>
      <c r="G48" s="28">
        <f>E48*F48</f>
        <v>87.5</v>
      </c>
      <c r="H48" s="16" t="s">
        <v>14</v>
      </c>
    </row>
    <row r="49" spans="1:8" ht="15" customHeight="1" x14ac:dyDescent="0.3">
      <c r="A49" s="54"/>
      <c r="B49" s="26" t="s">
        <v>49</v>
      </c>
      <c r="C49" s="26" t="s">
        <v>48</v>
      </c>
      <c r="D49" s="13" t="s">
        <v>40</v>
      </c>
      <c r="E49" s="13">
        <v>1</v>
      </c>
      <c r="F49" s="27">
        <v>668.75</v>
      </c>
      <c r="G49" s="28">
        <v>668.75</v>
      </c>
      <c r="H49" s="16" t="s">
        <v>14</v>
      </c>
    </row>
    <row r="50" spans="1:8" ht="15" customHeight="1" x14ac:dyDescent="0.3">
      <c r="A50" s="54"/>
      <c r="B50" s="17"/>
      <c r="D50" s="13"/>
      <c r="E50" s="14"/>
      <c r="G50" s="15"/>
      <c r="H50" s="16"/>
    </row>
    <row r="51" spans="1:8" ht="15" customHeight="1" x14ac:dyDescent="0.3">
      <c r="A51" s="39"/>
      <c r="B51" s="52" t="s">
        <v>35</v>
      </c>
      <c r="C51" s="47"/>
      <c r="D51" s="47"/>
      <c r="E51" s="47"/>
      <c r="F51" s="47"/>
      <c r="G51" s="37">
        <f>G46-SUM(G48:G50)</f>
        <v>743.75</v>
      </c>
      <c r="H51" s="38" t="s">
        <v>14</v>
      </c>
    </row>
    <row r="52" spans="1:8" ht="15" customHeight="1" x14ac:dyDescent="0.3">
      <c r="A52" s="24"/>
      <c r="B52" s="17"/>
      <c r="D52" s="43"/>
      <c r="E52" s="13"/>
      <c r="F52" s="17"/>
      <c r="G52" s="15"/>
      <c r="H52" s="44"/>
    </row>
  </sheetData>
  <mergeCells count="13">
    <mergeCell ref="A41:A42"/>
    <mergeCell ref="B43:F43"/>
    <mergeCell ref="A48:A50"/>
    <mergeCell ref="B51:F51"/>
    <mergeCell ref="B31:F31"/>
    <mergeCell ref="B32:F32"/>
    <mergeCell ref="B33:F33"/>
    <mergeCell ref="B36:F36"/>
    <mergeCell ref="B25:F25"/>
    <mergeCell ref="B20:F20"/>
    <mergeCell ref="B21:F21"/>
    <mergeCell ref="B22:F22"/>
    <mergeCell ref="A1:H1"/>
  </mergeCells>
  <conditionalFormatting sqref="G25 G36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 Addink (Student)</cp:lastModifiedBy>
  <dcterms:modified xsi:type="dcterms:W3CDTF">2026-02-18T20:30:32Z</dcterms:modified>
</cp:coreProperties>
</file>